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verraassetmanagers.sharepoint.com/sites/Averraworksite/Shared Documents/Research/"/>
    </mc:Choice>
  </mc:AlternateContent>
  <xr:revisionPtr revIDLastSave="200" documentId="8_{F4DA4E9D-DBB0-4C2E-BC94-C7ACC013157F}" xr6:coauthVersionLast="47" xr6:coauthVersionMax="47" xr10:uidLastSave="{3F07F927-0925-4958-84DB-C25FC7C8CEDF}"/>
  <bookViews>
    <workbookView xWindow="-120" yWindow="-120" windowWidth="29040" windowHeight="15720" xr2:uid="{DBCC4883-17EB-41FE-8AE5-C3C23A0B1B49}"/>
  </bookViews>
  <sheets>
    <sheet name="Sheet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1" i="1" l="1"/>
  <c r="F41" i="1"/>
  <c r="E41" i="1"/>
  <c r="D41" i="1"/>
  <c r="G14" i="1"/>
  <c r="F14" i="1"/>
  <c r="E14" i="1"/>
  <c r="D14" i="1"/>
  <c r="G17" i="1"/>
  <c r="F17" i="1"/>
  <c r="E17" i="1"/>
  <c r="D17" i="1"/>
  <c r="G19" i="1"/>
  <c r="F19" i="1"/>
  <c r="G8" i="1"/>
  <c r="F8" i="1"/>
  <c r="G6" i="1"/>
  <c r="F6" i="1"/>
  <c r="E6" i="1"/>
  <c r="D6" i="1"/>
  <c r="D8" i="1" l="1"/>
  <c r="E8" i="1"/>
  <c r="G31" i="1"/>
  <c r="F31" i="1"/>
  <c r="E31" i="1"/>
  <c r="D31" i="1"/>
  <c r="G5" i="1" l="1"/>
  <c r="F5" i="1"/>
  <c r="E5" i="1"/>
  <c r="D5" i="1"/>
  <c r="F2" i="1" l="1"/>
  <c r="D2" i="1"/>
  <c r="E2" i="1"/>
  <c r="G2" i="1"/>
  <c r="D3" i="1"/>
  <c r="E3" i="1"/>
  <c r="G3" i="1"/>
  <c r="F3" i="1"/>
  <c r="D18" i="1"/>
  <c r="G18" i="1"/>
  <c r="F18" i="1"/>
  <c r="E18" i="1"/>
  <c r="D21" i="1"/>
  <c r="F21" i="1"/>
  <c r="G21" i="1"/>
  <c r="E21" i="1"/>
  <c r="G22" i="1"/>
  <c r="F22" i="1"/>
  <c r="E22" i="1"/>
  <c r="D22" i="1"/>
  <c r="E29" i="1"/>
  <c r="D29" i="1"/>
  <c r="G29" i="1"/>
  <c r="F29" i="1"/>
  <c r="D10" i="1" l="1"/>
  <c r="E10" i="1"/>
  <c r="F10" i="1"/>
  <c r="G10" i="1"/>
  <c r="D19" i="1" l="1"/>
  <c r="E19" i="1" l="1"/>
  <c r="D15" i="1" l="1"/>
  <c r="E15" i="1"/>
  <c r="F15" i="1"/>
  <c r="G15" i="1"/>
  <c r="D12" i="1" l="1"/>
  <c r="E12" i="1"/>
  <c r="F12" i="1"/>
  <c r="G12" i="1"/>
  <c r="D13" i="1" l="1"/>
  <c r="E13" i="1"/>
  <c r="F13" i="1"/>
  <c r="G13" i="1"/>
  <c r="F4" i="1" l="1"/>
  <c r="G4" i="1"/>
  <c r="D7" i="1" l="1"/>
  <c r="E7" i="1"/>
  <c r="F7" i="1"/>
  <c r="G7" i="1"/>
</calcChain>
</file>

<file path=xl/sharedStrings.xml><?xml version="1.0" encoding="utf-8"?>
<sst xmlns="http://schemas.openxmlformats.org/spreadsheetml/2006/main" count="127" uniqueCount="127">
  <si>
    <t>FIVE-STAR BUSINESS FINANCE LTD</t>
  </si>
  <si>
    <t>INE128S01021</t>
  </si>
  <si>
    <t>FIVESTAR.NS</t>
  </si>
  <si>
    <t>GNG ELECTRONICS LTD</t>
  </si>
  <si>
    <t>INE18JU01028</t>
  </si>
  <si>
    <t>EBGNG.NS</t>
  </si>
  <si>
    <t>ETERNAL LTD</t>
  </si>
  <si>
    <t>INE758T01015</t>
  </si>
  <si>
    <t>ETERNAL.NS</t>
  </si>
  <si>
    <t>TIMEX GROUP INDIA LTD</t>
  </si>
  <si>
    <t>INE064A01026</t>
  </si>
  <si>
    <t>TIMEX.BO</t>
  </si>
  <si>
    <t>UJJIVAN SMALL FINANCE BANK LTD</t>
  </si>
  <si>
    <t>INE551W01018</t>
  </si>
  <si>
    <t>UJJIVANSFB.NS</t>
  </si>
  <si>
    <t>ACUTAAS CHEMICALS LTD</t>
  </si>
  <si>
    <t>INE00FF01025</t>
  </si>
  <si>
    <t>ACUTAAS.NS</t>
  </si>
  <si>
    <t>SHAILY ENGINEERING PLASTICS LTD</t>
  </si>
  <si>
    <t>INE151G01028</t>
  </si>
  <si>
    <t>SHAILY.NS</t>
  </si>
  <si>
    <t>INTERGLOBE AVIATION LTD</t>
  </si>
  <si>
    <t>INE646L01027</t>
  </si>
  <si>
    <t>INDIGO.NS</t>
  </si>
  <si>
    <t>CONCORD BIOTECH LTD EQ NEW</t>
  </si>
  <si>
    <t>INE338H01029</t>
  </si>
  <si>
    <t>CONCORDBIO.NS</t>
  </si>
  <si>
    <t>DCB BANK LTD</t>
  </si>
  <si>
    <t>INE503A01015</t>
  </si>
  <si>
    <t>DCBBANK.NS</t>
  </si>
  <si>
    <t>PB FINTECH LTD</t>
  </si>
  <si>
    <t>INE417T01026</t>
  </si>
  <si>
    <t>POLICYBZR.NS</t>
  </si>
  <si>
    <t>DYNAMATIC TECHNOLOGIES LTD</t>
  </si>
  <si>
    <t>INE221B01012</t>
  </si>
  <si>
    <t>DYNAMATECH.NS</t>
  </si>
  <si>
    <t>KWALITY PHARMACEUTICALS LTD</t>
  </si>
  <si>
    <t>INE552U01010</t>
  </si>
  <si>
    <t>KPL.NS</t>
  </si>
  <si>
    <t>PRUDENT CORPORATE ADVISORY SERVICES LTD</t>
  </si>
  <si>
    <t>INE00F201020</t>
  </si>
  <si>
    <t>PRUDENT.NS</t>
  </si>
  <si>
    <t>ONESOURCE SPECIALTY PHARMA LTD</t>
  </si>
  <si>
    <t>INE013P01021</t>
  </si>
  <si>
    <t>ONESOURCE.NS</t>
  </si>
  <si>
    <t>BLACKBUCK LTD</t>
  </si>
  <si>
    <t>INE0UIZ01018</t>
  </si>
  <si>
    <t>BLACKBUCK.NS</t>
  </si>
  <si>
    <t>SKIPPER LTD</t>
  </si>
  <si>
    <t>INE439E01022</t>
  </si>
  <si>
    <t>SKIPPER.NS</t>
  </si>
  <si>
    <t>360 ONE WAM LIM</t>
  </si>
  <si>
    <t>INE466L01038</t>
  </si>
  <si>
    <t>360ONE.NS</t>
  </si>
  <si>
    <t>ELECTRONICS MART INDIA LTD</t>
  </si>
  <si>
    <t>INE02YR01019</t>
  </si>
  <si>
    <t>EMIL.NS</t>
  </si>
  <si>
    <t>NRB BEARINGS LTD</t>
  </si>
  <si>
    <t>INE349A01021</t>
  </si>
  <si>
    <t>NRBBEARING.NS</t>
  </si>
  <si>
    <t>BSE LTD</t>
  </si>
  <si>
    <t>INE118H01025</t>
  </si>
  <si>
    <t>BSE.NS</t>
  </si>
  <si>
    <t>BLUE JET HEALTHCARE LTD</t>
  </si>
  <si>
    <t>INE0KBH01020</t>
  </si>
  <si>
    <t>BLUEJET.NS</t>
  </si>
  <si>
    <t>NIVA BUPA HEALTH INSURANCE COMPANY LTD</t>
  </si>
  <si>
    <t>INE995S01015</t>
  </si>
  <si>
    <t>NIVABUPA.NS</t>
  </si>
  <si>
    <t>ASM TECHNOLOGIES LTD</t>
  </si>
  <si>
    <t>INE867C01010</t>
  </si>
  <si>
    <t>ASMTEC.BO</t>
  </si>
  <si>
    <t>LEMON TREE HOTELS LTD</t>
  </si>
  <si>
    <t>INE970X01018</t>
  </si>
  <si>
    <t>LEMONTREE.NS</t>
  </si>
  <si>
    <t>APTUS VALUE HOUSING FINANCE INDIA LTD</t>
  </si>
  <si>
    <t>INE852O01025</t>
  </si>
  <si>
    <t>APTUS.NS</t>
  </si>
  <si>
    <t>INDUS TOWERS LTD</t>
  </si>
  <si>
    <t>INE121J01017</t>
  </si>
  <si>
    <t>INDUSTOWER.NS</t>
  </si>
  <si>
    <t>AEQUS LTD</t>
  </si>
  <si>
    <t>INE947N01017</t>
  </si>
  <si>
    <t>AEQUS.NS</t>
  </si>
  <si>
    <t>SUZLON ENERGY LTD</t>
  </si>
  <si>
    <t>INE040H01021</t>
  </si>
  <si>
    <t>SUZLON.NS</t>
  </si>
  <si>
    <t>ICICI BANK LTD</t>
  </si>
  <si>
    <t>INE090A01021</t>
  </si>
  <si>
    <t>ICICIBANK.NS</t>
  </si>
  <si>
    <t>ORCHID PHARMA LTD</t>
  </si>
  <si>
    <t>INE191A01027</t>
  </si>
  <si>
    <t>ORCHPHARMA.NS</t>
  </si>
  <si>
    <t>INDIA SHELTER FINANCE CORPORATION LTD EQ NEW</t>
  </si>
  <si>
    <t>INE922K01024</t>
  </si>
  <si>
    <t>INDIASHLTR.NS</t>
  </si>
  <si>
    <t>BAJAJ FINANCE LTD</t>
  </si>
  <si>
    <t>INE296A01032</t>
  </si>
  <si>
    <t>BAJFINANCE.NS</t>
  </si>
  <si>
    <t>AXIS BANK LTD</t>
  </si>
  <si>
    <t>INE238A01034</t>
  </si>
  <si>
    <t>AXISBANK.NS</t>
  </si>
  <si>
    <t>BHARTI AIRTEL LTD</t>
  </si>
  <si>
    <t>INE397D01024</t>
  </si>
  <si>
    <t>BHARTIARTL.NS</t>
  </si>
  <si>
    <t>TBO TEK LTD</t>
  </si>
  <si>
    <t>INE673O01025</t>
  </si>
  <si>
    <t>TBOTEK.NS</t>
  </si>
  <si>
    <t>NIPPON INDIA ETF LIQUID BEES</t>
  </si>
  <si>
    <t>INF732E01037</t>
  </si>
  <si>
    <t>LIQUIDBEES.NS</t>
  </si>
  <si>
    <t>SAMHI HOTELS LTD</t>
  </si>
  <si>
    <t>INE08U801020</t>
  </si>
  <si>
    <t>SAMHI.NS</t>
  </si>
  <si>
    <t>LENSKART SOLUTIONS PRIVATE LTD</t>
  </si>
  <si>
    <t>INE956O01016</t>
  </si>
  <si>
    <t>LENSKART.NS</t>
  </si>
  <si>
    <t>EPS FY27</t>
  </si>
  <si>
    <t>EPS FY28</t>
  </si>
  <si>
    <t>Company Name</t>
  </si>
  <si>
    <t>ISIN</t>
  </si>
  <si>
    <t>NSE/BSE Code</t>
  </si>
  <si>
    <t>SHADOWFAX TECHNOLOGIES LTD</t>
  </si>
  <si>
    <t>INE12UN01015</t>
  </si>
  <si>
    <t>SHADOWFAX</t>
  </si>
  <si>
    <t>31st March 2027 Target Price</t>
  </si>
  <si>
    <t>31st March 2028 Target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</si>
</sst>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.0_ ;_ * \-#,##0.0_ ;_ * &quot;-&quot;??_ ;_ @_ "/>
    <numFmt numFmtId="165" formatCode="0.0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2" fontId="0" fillId="0" borderId="0" xfId="0" applyNumberFormat="1"/>
    <xf numFmtId="1" fontId="0" fillId="0" borderId="0" xfId="0" applyNumberFormat="1"/>
    <xf numFmtId="0" fontId="3" fillId="0" borderId="0" xfId="0" applyFont="1" applyAlignment="1">
      <alignment vertical="center" wrapText="1"/>
    </xf>
    <xf numFmtId="164" fontId="0" fillId="0" borderId="0" xfId="0" applyNumberFormat="1"/>
    <xf numFmtId="165" fontId="0" fillId="0" borderId="0" xfId="0" applyNumberFormat="1"/>
    <xf numFmtId="1" fontId="3" fillId="0" borderId="0" xfId="0" applyNumberFormat="1" applyFont="1"/>
    <xf numFmtId="43" fontId="0" fillId="0" borderId="0" xfId="1" applyFont="1"/>
    <xf numFmtId="0" fontId="2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verraassetmanagers.sharepoint.com/sites/Averraworksite/Shared%20Documents/Research/Five%20Star%20Finance/Model/Five%20Star%20Q4%20FY26v1.xlsx" TargetMode="External"/><Relationship Id="rId1" Type="http://schemas.openxmlformats.org/officeDocument/2006/relationships/externalLinkPath" Target="Five%20Star%20Finance/Model/Five%20Star%20Q4%20FY26v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verraassetmanagers.sharepoint.com/sites/Averraworksite/Shared%20Documents/Research/GNG/Model/GNG%20Q4FY26%20v1.xlsx" TargetMode="External"/><Relationship Id="rId1" Type="http://schemas.openxmlformats.org/officeDocument/2006/relationships/externalLinkPath" Target="GNG/Model/GNG%20Q4FY26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verraassetmanagers.sharepoint.com/sites/Averraworksite/Shared%20Documents/Research/Zomato/Model/Zomato%20Q4FY26v1.xlsx" TargetMode="External"/><Relationship Id="rId1" Type="http://schemas.openxmlformats.org/officeDocument/2006/relationships/externalLinkPath" Target="Zomato/Model/Zomato%20Q4FY26v1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verraassetmanagers.sharepoint.com/sites/Averraworksite/Shared%20Documents/Research/Timex/Model/Model-v3.xlsx" TargetMode="External"/><Relationship Id="rId1" Type="http://schemas.openxmlformats.org/officeDocument/2006/relationships/externalLinkPath" Target="Timex/Model/Model-v3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verraassetmanagers.sharepoint.com/sites/Averraworksite/Shared%20Documents/Research/Ujjivan/UJJIVAN%20Q4FY26%20v2.xlsx" TargetMode="External"/><Relationship Id="rId1" Type="http://schemas.openxmlformats.org/officeDocument/2006/relationships/externalLinkPath" Target="Ujjivan/UJJIVAN%20Q4FY26%20v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verraassetmanagers.sharepoint.com/sites/Averraworksite/Shared%20Documents/Research/Ami%20Organics/Model/Kotak--ACUTAAS%20model--post%20Korea%20JV%20-%20v5.xlsx" TargetMode="External"/><Relationship Id="rId1" Type="http://schemas.openxmlformats.org/officeDocument/2006/relationships/externalLinkPath" Target="Ami%20Organics/Model/Kotak--ACUTAAS%20model--post%20Korea%20JV%20-%20v5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verraassetmanagers.sharepoint.com/sites/Averraworksite/Shared%20Documents/Research/Shaily%20Engineering/Street%20Model/ShailyLatest_1.xlsx" TargetMode="External"/><Relationship Id="rId1" Type="http://schemas.openxmlformats.org/officeDocument/2006/relationships/externalLinkPath" Target="Shaily%20Engineering/Street%20Model/ShailyLatest_1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verraassetmanagers.sharepoint.com/sites/Averraworksite/Shared%20Documents/Research/Concord%20Biotech/Model/Model%20-%20v1%20-%20Concord.xlsx" TargetMode="External"/><Relationship Id="rId1" Type="http://schemas.openxmlformats.org/officeDocument/2006/relationships/externalLinkPath" Target="Concord%20Biotech/Model/Model%20-%20v1%20-%20Concord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verraassetmanagers.sharepoint.com/sites/Averraworksite/Shared%20Documents/Research/PB%20fintech/PB%20fintech%20Q4FY26%20v2.xlsx" TargetMode="External"/><Relationship Id="rId1" Type="http://schemas.openxmlformats.org/officeDocument/2006/relationships/externalLinkPath" Target="PB%20fintech/PB%20fintech%20Q4FY26%20v2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verraassetmanagers.sharepoint.com/sites/Averraworksite/Shared%20Documents/Research/Dynamatic%20Technologies/Model/Model-v4.xlsx" TargetMode="External"/><Relationship Id="rId1" Type="http://schemas.openxmlformats.org/officeDocument/2006/relationships/externalLinkPath" Target="Dynamatic%20Technologies/Model/Model-v4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verraassetmanagers.sharepoint.com/sites/Averraworksite/Shared%20Documents/Research/Kwality%20Pharma/Model/Model%20-%20v2.xlsx" TargetMode="External"/><Relationship Id="rId1" Type="http://schemas.openxmlformats.org/officeDocument/2006/relationships/externalLinkPath" Target="Kwality%20Pharma/Model/Model%20-%20v2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verraassetmanagers.sharepoint.com/sites/Averraworksite/Shared%20Documents/Research/Prudent%20Corporate/Model/Prudent%20Corporate%20Q4FY26%20v2.xlsx" TargetMode="External"/><Relationship Id="rId1" Type="http://schemas.openxmlformats.org/officeDocument/2006/relationships/externalLinkPath" Target="Prudent%20Corporate/Model/Prudent%20Corporate%20Q4FY26%20v2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verraassetmanagers.sharepoint.com/sites/Averraworksite/Shared%20Documents/Research/Zinka/Model/Zinka%20Logistics%20-%20Q4FY26v2.xlsx" TargetMode="External"/><Relationship Id="rId1" Type="http://schemas.openxmlformats.org/officeDocument/2006/relationships/externalLinkPath" Target="Zinka/Model/Zinka%20Logistics%20-%20Q4FY26v2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verraassetmanagers.sharepoint.com/sites/Averraworksite/Shared%20Documents/Research/Skipper/Models/Q4FY26/Skipper%20Model%20Q4FY26%20-%20v5.xlsx" TargetMode="External"/><Relationship Id="rId1" Type="http://schemas.openxmlformats.org/officeDocument/2006/relationships/externalLinkPath" Target="Skipper/Models/Q4FY26/Skipper%20Model%20Q4FY26%20-%20v5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verraassetmanagers.sharepoint.com/sites/Averraworksite/Shared%20Documents/Research/360%20one%20WAM/Model/IIFL%20Wealth%20Q4FY26%20v2.xlsx" TargetMode="External"/><Relationship Id="rId1" Type="http://schemas.openxmlformats.org/officeDocument/2006/relationships/externalLinkPath" Target="360%20one%20WAM/Model/IIFL%20Wealth%20Q4FY26%20v2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verraassetmanagers.sharepoint.com/sites/Averraworksite/Shared%20Documents/Research/NRB%20Bearings/Model/Model%20-v1.xlsx" TargetMode="External"/><Relationship Id="rId1" Type="http://schemas.openxmlformats.org/officeDocument/2006/relationships/externalLinkPath" Target="NRB%20Bearings/Model/Model%20-v1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verraassetmanagers.sharepoint.com/sites/Averraworksite/Shared%20Documents/Research/BSE/BSE%20-%20Q4%20FY26%20-%20v1.xlsx" TargetMode="External"/><Relationship Id="rId1" Type="http://schemas.openxmlformats.org/officeDocument/2006/relationships/externalLinkPath" Target="BSE/BSE%20-%20Q4%20FY26%20-%20v1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verraassetmanagers.sharepoint.com/sites/Averraworksite/Shared%20Documents/Research/Aequs/Model/Model%20-%20v10.xlsx" TargetMode="External"/><Relationship Id="rId1" Type="http://schemas.openxmlformats.org/officeDocument/2006/relationships/externalLinkPath" Target="Aequs/Model/Model%20-%20v10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verraassetmanagers.sharepoint.com/sites/Averraworksite/Shared%20Documents/Research/ICICI%20Bank/Model/ICICI%20Bank%20Q4FY26%20v1.xlsx" TargetMode="External"/><Relationship Id="rId1" Type="http://schemas.openxmlformats.org/officeDocument/2006/relationships/externalLinkPath" Target="ICICI%20Bank/Model/ICICI%20Bank%20Q4FY26%20v1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verraassetmanagers.sharepoint.com/sites/Averraworksite/Shared%20Documents/Research/Shadow%20Fax/Model/Model%20-%20v3.xlsx" TargetMode="External"/><Relationship Id="rId1" Type="http://schemas.openxmlformats.org/officeDocument/2006/relationships/externalLinkPath" Target="Shadow%20Fax/Model/Model%20-%20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ation"/>
      <sheetName val="Earnings Model "/>
      <sheetName val="Comparables"/>
      <sheetName val="Sheet3"/>
      <sheetName val="Concall Notes"/>
      <sheetName val="Earnings Preview"/>
    </sheetNames>
    <sheetDataSet>
      <sheetData sheetId="0">
        <row r="13">
          <cell r="D13">
            <v>40.9485762288122</v>
          </cell>
        </row>
        <row r="14">
          <cell r="D14">
            <v>48.684023895631988</v>
          </cell>
        </row>
        <row r="24">
          <cell r="D24">
            <v>675.05234318306771</v>
          </cell>
          <cell r="E24">
            <v>822.2730004142436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ation"/>
      <sheetName val="Profit and Loss Account"/>
      <sheetName val="Balance Sheet"/>
      <sheetName val="Sheet1"/>
    </sheetNames>
    <sheetDataSet>
      <sheetData sheetId="0">
        <row r="11">
          <cell r="G11">
            <v>21.645863486655909</v>
          </cell>
        </row>
        <row r="12">
          <cell r="G12">
            <v>26.633698200003529</v>
          </cell>
        </row>
        <row r="26">
          <cell r="C26">
            <v>671.02176808633317</v>
          </cell>
          <cell r="D26">
            <v>799.01094600010583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ation"/>
      <sheetName val="DCF"/>
      <sheetName val="PL"/>
      <sheetName val="Blinkit"/>
      <sheetName val="Balance Sheet"/>
      <sheetName val="Sheet4"/>
      <sheetName val="Cash flow Statement - Final"/>
      <sheetName val="Swiggy"/>
      <sheetName val="Sheet3"/>
      <sheetName val="Sheet1"/>
      <sheetName val="Rough"/>
    </sheetNames>
    <sheetDataSet>
      <sheetData sheetId="0"/>
      <sheetData sheetId="1"/>
      <sheetData sheetId="2">
        <row r="187">
          <cell r="AQ187">
            <v>2.2821647504023503</v>
          </cell>
          <cell r="AR187">
            <v>5.095742067984629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ation"/>
      <sheetName val="Annual Financials"/>
      <sheetName val="Balance Sheet"/>
      <sheetName val="Raw Data Quarterly"/>
      <sheetName val="Raw Data (Bloom)"/>
    </sheetNames>
    <sheetDataSet>
      <sheetData sheetId="0">
        <row r="18">
          <cell r="F18">
            <v>11.431531063213342</v>
          </cell>
        </row>
        <row r="19">
          <cell r="F19">
            <v>15.894375431248591</v>
          </cell>
        </row>
        <row r="33">
          <cell r="C33">
            <v>628.73420847673378</v>
          </cell>
          <cell r="D33">
            <v>826.50752242492672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ations"/>
      <sheetName val="Equibase"/>
      <sheetName val="First &amp; Last Page"/>
      <sheetName val="BS_Consol"/>
      <sheetName val="Ratios"/>
      <sheetName val="PL_Consol"/>
      <sheetName val="Quarterly"/>
      <sheetName val="Quarterly (2)"/>
      <sheetName val="Qtrly table"/>
      <sheetName val="Charts_Quarterly"/>
      <sheetName val="Covid 19 update"/>
      <sheetName val="Charts initiation"/>
      <sheetName val="Loan Assets"/>
      <sheetName val="Du-Pont"/>
      <sheetName val="Productivity"/>
      <sheetName val="CRAR"/>
      <sheetName val="Annual Data"/>
    </sheetNames>
    <sheetDataSet>
      <sheetData sheetId="0">
        <row r="12">
          <cell r="F12">
            <v>6.042958523209605</v>
          </cell>
        </row>
        <row r="13">
          <cell r="F13">
            <v>7.5815608121122109</v>
          </cell>
        </row>
        <row r="27">
          <cell r="C27">
            <v>74.0277036812018</v>
          </cell>
          <cell r="D27">
            <v>87.674513143003779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Table of Contents"/>
      <sheetName val="finsum"/>
      <sheetName val="Expanded finsum"/>
      <sheetName val="Intermediates"/>
      <sheetName val="Valuation"/>
      <sheetName val="PL"/>
      <sheetName val="BS"/>
      <sheetName val="CF"/>
      <sheetName val="Quarter"/>
      <sheetName val="DCF"/>
      <sheetName val="Revenue drivers"/>
      <sheetName val="Advanced pharma intermediates"/>
      <sheetName val="Ratios"/>
      <sheetName val="Capex and depreciation"/>
      <sheetName val="Interim (f)"/>
      <sheetName val="Change in estimates"/>
      <sheetName val="uploader"/>
    </sheetNames>
    <sheetDataSet>
      <sheetData sheetId="0"/>
      <sheetData sheetId="1"/>
      <sheetData sheetId="2"/>
      <sheetData sheetId="3"/>
      <sheetData sheetId="4"/>
      <sheetData sheetId="5">
        <row r="14">
          <cell r="F14">
            <v>68.590733832428739</v>
          </cell>
        </row>
        <row r="15">
          <cell r="F15">
            <v>88.712233033745889</v>
          </cell>
        </row>
        <row r="31">
          <cell r="B31">
            <v>3498.1274254538657</v>
          </cell>
          <cell r="C31">
            <v>4346.8994186535483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Snapshot &amp; Header"/>
      <sheetName val="Update"/>
      <sheetName val="Qtr Report "/>
      <sheetName val="Qtr_operating table"/>
      <sheetName val="Quick-Glance (C)"/>
      <sheetName val="FIN (C)"/>
      <sheetName val="BRK up P &amp; L ,BS (C)"/>
      <sheetName val="Quick-Glance (S)"/>
      <sheetName val="FIN"/>
      <sheetName val="BRK up P &amp; L ,BS"/>
      <sheetName val="Revenue-model"/>
      <sheetName val="QTR"/>
      <sheetName val="Qtr-Table "/>
      <sheetName val="Qtr-charts"/>
      <sheetName val="Val&amp;Peers"/>
      <sheetName val="DCF"/>
      <sheetName val="Subs, JV, Asso."/>
    </sheetNames>
    <sheetDataSet>
      <sheetData sheetId="0"/>
      <sheetData sheetId="1">
        <row r="79">
          <cell r="G79">
            <v>52.129438579580551</v>
          </cell>
          <cell r="H79">
            <v>75.643049689747485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7">
          <cell r="BP17">
            <v>113.511</v>
          </cell>
        </row>
      </sheetData>
      <sheetData sheetId="13"/>
      <sheetData sheetId="14"/>
      <sheetData sheetId="15"/>
      <sheetData sheetId="16"/>
      <sheetData sheetId="1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ation"/>
      <sheetName val="Annual Financials"/>
      <sheetName val="Revenue Model - Final"/>
      <sheetName val="Balance Sheet"/>
      <sheetName val="Revenue Model"/>
    </sheetNames>
    <sheetDataSet>
      <sheetData sheetId="0">
        <row r="23">
          <cell r="F23">
            <v>32.314211091367696</v>
          </cell>
        </row>
        <row r="24">
          <cell r="F24">
            <v>42.463498167628586</v>
          </cell>
        </row>
        <row r="38">
          <cell r="B38">
            <v>1615.7105545683849</v>
          </cell>
          <cell r="C38">
            <v>2123.1749083814293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ation"/>
      <sheetName val="Earnings Model"/>
      <sheetName val="Alternate Valuation"/>
      <sheetName val="DCF"/>
      <sheetName val="Yearly PAT trajec - TO VALIDATE"/>
      <sheetName val="balance sheet"/>
      <sheetName val="Comp valuation"/>
      <sheetName val="Number of customers comparison"/>
      <sheetName val="Sheet1"/>
      <sheetName val="FY 27 PAT check"/>
      <sheetName val="Sheet2"/>
      <sheetName val="Earnings Preview"/>
    </sheetNames>
    <sheetDataSet>
      <sheetData sheetId="0">
        <row r="25">
          <cell r="E25">
            <v>1922.3240641289337</v>
          </cell>
          <cell r="F25">
            <v>2416.7510485721464</v>
          </cell>
        </row>
      </sheetData>
      <sheetData sheetId="1">
        <row r="196">
          <cell r="AO196">
            <v>24.490193342284392</v>
          </cell>
          <cell r="AP196">
            <v>31.805292000424576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ation"/>
      <sheetName val="Annual Financials"/>
      <sheetName val="Balance Sheet"/>
      <sheetName val="1_Aerospace"/>
      <sheetName val="0_Assumptions"/>
      <sheetName val="Raw Data"/>
    </sheetNames>
    <sheetDataSet>
      <sheetData sheetId="0">
        <row r="16">
          <cell r="F16">
            <v>152.30923305759919</v>
          </cell>
        </row>
        <row r="17">
          <cell r="F17">
            <v>244.82295854617331</v>
          </cell>
        </row>
        <row r="44">
          <cell r="B44">
            <v>13091.241141119897</v>
          </cell>
          <cell r="C44">
            <v>17033.135034104569</v>
          </cell>
        </row>
      </sheetData>
      <sheetData sheetId="1">
        <row r="72">
          <cell r="Y72">
            <v>12533.7</v>
          </cell>
        </row>
      </sheetData>
      <sheetData sheetId="2">
        <row r="7">
          <cell r="A7" t="str">
            <v>Total Equity</v>
          </cell>
        </row>
      </sheetData>
      <sheetData sheetId="3"/>
      <sheetData sheetId="4"/>
      <sheetData sheetId="5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ation"/>
      <sheetName val="Annual Financials "/>
      <sheetName val="Balance Sheet"/>
      <sheetName val="Screener Data"/>
      <sheetName val="Assumptions"/>
      <sheetName val="Revenue Model"/>
      <sheetName val="Scenario Summary"/>
    </sheetNames>
    <sheetDataSet>
      <sheetData sheetId="0">
        <row r="14">
          <cell r="F14">
            <v>106.35347581432254</v>
          </cell>
        </row>
        <row r="15">
          <cell r="F15">
            <v>138.24683186310736</v>
          </cell>
        </row>
        <row r="29">
          <cell r="B29">
            <v>3403.3112260583212</v>
          </cell>
          <cell r="C29">
            <v>4423.8986196194355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ation"/>
      <sheetName val="Earnings Model"/>
      <sheetName val="Balance Sheet"/>
      <sheetName val="Sheet1"/>
      <sheetName val="Cash Flow Statement"/>
      <sheetName val="Additional Data"/>
      <sheetName val="Questions"/>
      <sheetName val="May 2023 TER impact"/>
      <sheetName val="Comp Sheet"/>
    </sheetNames>
    <sheetDataSet>
      <sheetData sheetId="0">
        <row r="13">
          <cell r="E13">
            <v>61.788789213502064</v>
          </cell>
        </row>
        <row r="14">
          <cell r="E14">
            <v>82.49974310152605</v>
          </cell>
        </row>
        <row r="24">
          <cell r="C24">
            <v>3274.8058283156092</v>
          </cell>
          <cell r="D24">
            <v>4372.4863843808807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ation"/>
      <sheetName val="PL"/>
      <sheetName val="Sheet2"/>
      <sheetName val="Sheet3"/>
      <sheetName val="Sheet4"/>
    </sheetNames>
    <sheetDataSet>
      <sheetData sheetId="0">
        <row r="11">
          <cell r="F11">
            <v>11.796924089096084</v>
          </cell>
        </row>
        <row r="12">
          <cell r="F12">
            <v>14.717663954490749</v>
          </cell>
        </row>
        <row r="27">
          <cell r="B27">
            <v>589.84620445480425</v>
          </cell>
          <cell r="C27">
            <v>735.88319772453747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ation"/>
      <sheetName val="Revenue Model"/>
      <sheetName val="Annual Financials"/>
      <sheetName val="Balance Sheet"/>
      <sheetName val="CashFlow Calculated"/>
      <sheetName val="CashFlow Reported"/>
      <sheetName val="Screener Sheet "/>
      <sheetName val="Additional Information"/>
      <sheetName val="Outside NEP Revenues"/>
    </sheetNames>
    <sheetDataSet>
      <sheetData sheetId="0">
        <row r="15">
          <cell r="F15">
            <v>24.552316594985882</v>
          </cell>
        </row>
        <row r="16">
          <cell r="F16">
            <v>31.835506020044384</v>
          </cell>
        </row>
        <row r="30">
          <cell r="B30">
            <v>613.80791487464705</v>
          </cell>
          <cell r="C30">
            <v>795.88765050110965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ation"/>
      <sheetName val="Earnings Model"/>
      <sheetName val="Cash flow statement"/>
      <sheetName val="Sheet2"/>
      <sheetName val="Sheet1"/>
    </sheetNames>
    <sheetDataSet>
      <sheetData sheetId="0">
        <row r="15">
          <cell r="F15">
            <v>32.872074023580282</v>
          </cell>
        </row>
        <row r="16">
          <cell r="F16">
            <v>39.596044226915659</v>
          </cell>
        </row>
        <row r="29">
          <cell r="B29">
            <v>1206.4051166653965</v>
          </cell>
          <cell r="C29">
            <v>1476.1852749443108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_Revenue_Build"/>
      <sheetName val="P&amp;L"/>
      <sheetName val="Valuations"/>
      <sheetName val="Balance Sheet"/>
      <sheetName val="5_Capex_Build"/>
      <sheetName val="Raw Data"/>
      <sheetName val="0_Cover"/>
      <sheetName val="1_Raw_Data"/>
      <sheetName val="2_Historicals"/>
      <sheetName val="3_Assumptions"/>
      <sheetName val="5_Capex_Build (2)"/>
      <sheetName val="6_PL_Model"/>
      <sheetName val="7_Scenario_Analysis"/>
      <sheetName val="8_Valuation_Support"/>
      <sheetName val="9_Segment_Analysis"/>
    </sheetNames>
    <sheetDataSet>
      <sheetData sheetId="0"/>
      <sheetData sheetId="1"/>
      <sheetData sheetId="2">
        <row r="16">
          <cell r="F16">
            <v>16.255112211560039</v>
          </cell>
        </row>
        <row r="17">
          <cell r="F17">
            <v>19.355582751552593</v>
          </cell>
        </row>
        <row r="32">
          <cell r="B32">
            <v>487.65336634680119</v>
          </cell>
          <cell r="C32">
            <v>619.37864804968297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ation"/>
      <sheetName val="PL"/>
      <sheetName val="Revenue Model"/>
      <sheetName val="Additional data"/>
      <sheetName val="Sheet3"/>
      <sheetName val="BSE premium share"/>
      <sheetName val="NSE premium share"/>
      <sheetName val="balance sheet"/>
      <sheetName val="Cash Flow"/>
      <sheetName val="DCF"/>
      <sheetName val="Investor Data"/>
      <sheetName val="BSE - CM "/>
      <sheetName val="NSE - F&amp;O"/>
      <sheetName val="BSE - F&amp;O"/>
      <sheetName val="Earlier BS"/>
      <sheetName val="Questions"/>
      <sheetName val="Sheet2"/>
      <sheetName val="Sheet1"/>
      <sheetName val="Rough"/>
    </sheetNames>
    <sheetDataSet>
      <sheetData sheetId="0">
        <row r="13">
          <cell r="E13">
            <v>105.24555408415478</v>
          </cell>
        </row>
        <row r="14">
          <cell r="E14">
            <v>131.69296683999644</v>
          </cell>
        </row>
        <row r="38">
          <cell r="C38">
            <v>4984.6778505117209</v>
          </cell>
          <cell r="D38">
            <v>6196.5876968620123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ations"/>
      <sheetName val="P&amp;L Consol"/>
      <sheetName val="Balance Sheet"/>
      <sheetName val="P&amp;L Standalone Aero"/>
      <sheetName val="P&amp;L standalone Consumer"/>
      <sheetName val="P&amp;L Calc Consolidated"/>
    </sheetNames>
    <sheetDataSet>
      <sheetData sheetId="0">
        <row r="12">
          <cell r="F12">
            <v>2.1685679897085084</v>
          </cell>
        </row>
        <row r="13">
          <cell r="F13">
            <v>4.4969918124367441</v>
          </cell>
        </row>
        <row r="28">
          <cell r="C28">
            <v>108.42839948542542</v>
          </cell>
          <cell r="D28">
            <v>224.84959062183719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ation"/>
      <sheetName val="Earnings Model"/>
      <sheetName val="Provision Assumptions"/>
    </sheetNames>
    <sheetDataSet>
      <sheetData sheetId="0">
        <row r="22">
          <cell r="D22">
            <v>81.234536711690254</v>
          </cell>
        </row>
        <row r="23">
          <cell r="D23">
            <v>95.507310135220976</v>
          </cell>
        </row>
        <row r="37">
          <cell r="C37">
            <v>1735.7953023092418</v>
          </cell>
          <cell r="D37">
            <v>2001.2214898983377</v>
          </cell>
        </row>
      </sheetData>
      <sheetData sheetId="1"/>
      <sheetData sheetId="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ations"/>
      <sheetName val="Annual Financials - Pre Ind AS"/>
      <sheetName val="Annual Financials - Post Ind AS"/>
      <sheetName val="Balance Sheet"/>
      <sheetName val="Industry Info"/>
      <sheetName val="Sheet3"/>
    </sheetNames>
    <sheetDataSet>
      <sheetData sheetId="0">
        <row r="11">
          <cell r="F11">
            <v>3.678183556917157</v>
          </cell>
        </row>
        <row r="12">
          <cell r="F12">
            <v>5.3818753568619773</v>
          </cell>
        </row>
        <row r="34">
          <cell r="B34">
            <v>231.82153270098792</v>
          </cell>
          <cell r="C34">
            <v>349.54542834077216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E80E5-B7F3-404D-9437-40D951A8D687}">
  <dimension ref="A1:H41"/>
  <sheetViews>
    <sheetView tabSelected="1" workbookViewId="0">
      <pane xSplit="1" ySplit="1" topLeftCell="B26" activePane="bottomRight" state="frozen"/>
      <selection pane="topRight" activeCell="B1" sqref="B1"/>
      <selection pane="bottomLeft" activeCell="A2" sqref="A2"/>
      <selection pane="bottomRight" activeCell="E41" sqref="E41"/>
    </sheetView>
  </sheetViews>
  <sheetFormatPr defaultColWidth="43.28515625" defaultRowHeight="26.25" customHeight="1" x14ac:dyDescent="0.25"/>
  <cols>
    <col min="1" max="1" width="39.28515625" customWidth="1"/>
    <col min="2" max="2" width="17.85546875" customWidth="1"/>
    <col min="3" max="3" width="19.5703125" customWidth="1"/>
    <col min="4" max="7" width="15.7109375" customWidth="1"/>
    <col min="8" max="8" width="20.5703125" customWidth="1"/>
  </cols>
  <sheetData>
    <row r="1" spans="1:7" ht="26.25" customHeight="1" x14ac:dyDescent="0.25">
      <c r="A1" s="2" t="s">
        <v>119</v>
      </c>
      <c r="B1" s="2" t="s">
        <v>120</v>
      </c>
      <c r="C1" s="2" t="s">
        <v>121</v>
      </c>
      <c r="D1" s="11" t="s">
        <v>125</v>
      </c>
      <c r="E1" s="11" t="s">
        <v>126</v>
      </c>
      <c r="F1" s="2" t="s">
        <v>117</v>
      </c>
      <c r="G1" s="2" t="s">
        <v>118</v>
      </c>
    </row>
    <row r="2" spans="1:7" ht="26.25" customHeight="1" x14ac:dyDescent="0.25">
      <c r="A2" s="1" t="s">
        <v>0</v>
      </c>
      <c r="B2" s="1" t="s">
        <v>1</v>
      </c>
      <c r="C2" s="1" t="s">
        <v>2</v>
      </c>
      <c r="D2" s="5">
        <f>[1]Valuation!$D$24</f>
        <v>675.05234318306771</v>
      </c>
      <c r="E2" s="5">
        <f>[1]Valuation!$E$24</f>
        <v>822.2730004142436</v>
      </c>
      <c r="F2" s="5">
        <f>[1]Valuation!$D$13</f>
        <v>40.9485762288122</v>
      </c>
      <c r="G2" s="5">
        <f>[1]Valuation!$D$14</f>
        <v>48.684023895631988</v>
      </c>
    </row>
    <row r="3" spans="1:7" ht="26.25" customHeight="1" x14ac:dyDescent="0.25">
      <c r="A3" s="1" t="s">
        <v>3</v>
      </c>
      <c r="B3" s="1" t="s">
        <v>4</v>
      </c>
      <c r="C3" s="1" t="s">
        <v>5</v>
      </c>
      <c r="D3" s="5">
        <f>[2]Valuation!$C$26</f>
        <v>671.02176808633317</v>
      </c>
      <c r="E3" s="5">
        <f>[2]Valuation!$D$26</f>
        <v>799.01094600010583</v>
      </c>
      <c r="F3" s="5">
        <f>[2]Valuation!$G$11</f>
        <v>21.645863486655909</v>
      </c>
      <c r="G3" s="5">
        <f>[2]Valuation!$G$12</f>
        <v>26.633698200003529</v>
      </c>
    </row>
    <row r="4" spans="1:7" ht="26.25" customHeight="1" x14ac:dyDescent="0.25">
      <c r="A4" s="3" t="s">
        <v>6</v>
      </c>
      <c r="B4" s="3" t="s">
        <v>7</v>
      </c>
      <c r="C4" s="3" t="s">
        <v>8</v>
      </c>
      <c r="D4">
        <v>350</v>
      </c>
      <c r="E4">
        <v>480</v>
      </c>
      <c r="F4" s="7">
        <f>[3]PL!$AQ$187</f>
        <v>2.2821647504023503</v>
      </c>
      <c r="G4" s="7">
        <f>[3]PL!$AR$187</f>
        <v>5.095742067984629</v>
      </c>
    </row>
    <row r="5" spans="1:7" ht="26.25" customHeight="1" x14ac:dyDescent="0.25">
      <c r="A5" s="1" t="s">
        <v>9</v>
      </c>
      <c r="B5" s="1" t="s">
        <v>10</v>
      </c>
      <c r="C5" s="1" t="s">
        <v>11</v>
      </c>
      <c r="D5" s="5">
        <f>[4]Valuation!$C$33</f>
        <v>628.73420847673378</v>
      </c>
      <c r="E5" s="5">
        <f>[4]Valuation!$D$33</f>
        <v>826.50752242492672</v>
      </c>
      <c r="F5" s="5">
        <f>[4]Valuation!$F$18</f>
        <v>11.431531063213342</v>
      </c>
      <c r="G5" s="5">
        <f>[4]Valuation!$F$19</f>
        <v>15.894375431248591</v>
      </c>
    </row>
    <row r="6" spans="1:7" ht="26.25" customHeight="1" x14ac:dyDescent="0.25">
      <c r="A6" s="6" t="s">
        <v>12</v>
      </c>
      <c r="B6" s="6" t="s">
        <v>13</v>
      </c>
      <c r="C6" s="6" t="s">
        <v>14</v>
      </c>
      <c r="D6" s="5">
        <f>[5]Valuations!$C$27</f>
        <v>74.0277036812018</v>
      </c>
      <c r="E6" s="5">
        <f>[5]Valuations!$D$27</f>
        <v>87.674513143003779</v>
      </c>
      <c r="F6" s="4">
        <f>[5]Valuations!$F$12</f>
        <v>6.042958523209605</v>
      </c>
      <c r="G6" s="4">
        <f>[5]Valuations!$F$13</f>
        <v>7.5815608121122109</v>
      </c>
    </row>
    <row r="7" spans="1:7" ht="26.25" customHeight="1" x14ac:dyDescent="0.25">
      <c r="A7" s="6" t="s">
        <v>15</v>
      </c>
      <c r="B7" s="6" t="s">
        <v>16</v>
      </c>
      <c r="C7" s="6" t="s">
        <v>17</v>
      </c>
      <c r="D7" s="5">
        <f>[6]Valuation!$B$31</f>
        <v>3498.1274254538657</v>
      </c>
      <c r="E7" s="5">
        <f>[6]Valuation!$C$31</f>
        <v>4346.8994186535483</v>
      </c>
      <c r="F7" s="4">
        <f>[6]Valuation!$F$14</f>
        <v>68.590733832428739</v>
      </c>
      <c r="G7" s="4">
        <f>[6]Valuation!$F$15</f>
        <v>88.712233033745889</v>
      </c>
    </row>
    <row r="8" spans="1:7" ht="26.25" customHeight="1" x14ac:dyDescent="0.25">
      <c r="A8" s="3" t="s">
        <v>18</v>
      </c>
      <c r="B8" s="3" t="s">
        <v>19</v>
      </c>
      <c r="C8" s="3" t="s">
        <v>20</v>
      </c>
      <c r="D8" s="5">
        <f>G8*40</f>
        <v>3025.7219875898995</v>
      </c>
      <c r="E8" s="5">
        <f>G8*1.3*40</f>
        <v>3933.4385838668691</v>
      </c>
      <c r="F8" s="8">
        <f>'[7]Snapshot &amp; Header'!$G$79</f>
        <v>52.129438579580551</v>
      </c>
      <c r="G8" s="8">
        <f>'[7]Snapshot &amp; Header'!$H$79</f>
        <v>75.643049689747485</v>
      </c>
    </row>
    <row r="9" spans="1:7" ht="26.25" customHeight="1" x14ac:dyDescent="0.25">
      <c r="A9" s="3" t="s">
        <v>21</v>
      </c>
      <c r="B9" s="3" t="s">
        <v>22</v>
      </c>
      <c r="C9" s="3" t="s">
        <v>23</v>
      </c>
      <c r="D9">
        <v>5400</v>
      </c>
      <c r="E9">
        <v>6400</v>
      </c>
      <c r="F9">
        <v>56</v>
      </c>
      <c r="G9">
        <v>268</v>
      </c>
    </row>
    <row r="10" spans="1:7" ht="26.25" customHeight="1" x14ac:dyDescent="0.25">
      <c r="A10" s="6" t="s">
        <v>24</v>
      </c>
      <c r="B10" s="6" t="s">
        <v>25</v>
      </c>
      <c r="C10" s="6" t="s">
        <v>26</v>
      </c>
      <c r="D10" s="9">
        <f>[8]Valuation!$B$38</f>
        <v>1615.7105545683849</v>
      </c>
      <c r="E10" s="9">
        <f>[8]Valuation!$C$38</f>
        <v>2123.1749083814293</v>
      </c>
      <c r="F10" s="9">
        <f>[8]Valuation!$F$23</f>
        <v>32.314211091367696</v>
      </c>
      <c r="G10" s="9">
        <f>[8]Valuation!$F$24</f>
        <v>42.463498167628586</v>
      </c>
    </row>
    <row r="11" spans="1:7" ht="26.25" customHeight="1" x14ac:dyDescent="0.25">
      <c r="A11" s="6" t="s">
        <v>27</v>
      </c>
      <c r="B11" s="6" t="s">
        <v>28</v>
      </c>
      <c r="C11" s="6" t="s">
        <v>29</v>
      </c>
      <c r="D11">
        <v>243</v>
      </c>
      <c r="E11">
        <v>310</v>
      </c>
      <c r="F11">
        <v>39</v>
      </c>
      <c r="G11">
        <v>47</v>
      </c>
    </row>
    <row r="12" spans="1:7" ht="26.25" customHeight="1" x14ac:dyDescent="0.25">
      <c r="A12" s="6" t="s">
        <v>30</v>
      </c>
      <c r="B12" s="6" t="s">
        <v>31</v>
      </c>
      <c r="C12" s="6" t="s">
        <v>32</v>
      </c>
      <c r="D12" s="5">
        <f>[9]Valuation!$E$25</f>
        <v>1922.3240641289337</v>
      </c>
      <c r="E12" s="5">
        <f>[9]Valuation!$F$25</f>
        <v>2416.7510485721464</v>
      </c>
      <c r="F12" s="5">
        <f>'[9]Earnings Model'!$AO$196</f>
        <v>24.490193342284392</v>
      </c>
      <c r="G12" s="5">
        <f>'[9]Earnings Model'!$AP$196</f>
        <v>31.805292000424576</v>
      </c>
    </row>
    <row r="13" spans="1:7" ht="26.25" customHeight="1" x14ac:dyDescent="0.25">
      <c r="A13" s="1" t="s">
        <v>33</v>
      </c>
      <c r="B13" s="1" t="s">
        <v>34</v>
      </c>
      <c r="C13" s="1" t="s">
        <v>35</v>
      </c>
      <c r="D13" s="5">
        <f>[10]Valuation!$B$44</f>
        <v>13091.241141119897</v>
      </c>
      <c r="E13" s="5">
        <f>[10]Valuation!$C$44</f>
        <v>17033.135034104569</v>
      </c>
      <c r="F13" s="5">
        <f>[10]Valuation!$F$16</f>
        <v>152.30923305759919</v>
      </c>
      <c r="G13" s="5">
        <f>[10]Valuation!$F$17</f>
        <v>244.82295854617331</v>
      </c>
    </row>
    <row r="14" spans="1:7" ht="26.25" customHeight="1" x14ac:dyDescent="0.25">
      <c r="A14" s="3" t="s">
        <v>36</v>
      </c>
      <c r="B14" s="3" t="s">
        <v>37</v>
      </c>
      <c r="C14" s="3" t="s">
        <v>38</v>
      </c>
      <c r="D14" s="5">
        <f>[11]Valuation!$B$29</f>
        <v>3403.3112260583212</v>
      </c>
      <c r="E14" s="5">
        <f>[11]Valuation!$C$29</f>
        <v>4423.8986196194355</v>
      </c>
      <c r="F14" s="5">
        <f>[11]Valuation!$F$14</f>
        <v>106.35347581432254</v>
      </c>
      <c r="G14" s="5">
        <f>[11]Valuation!$F$15</f>
        <v>138.24683186310736</v>
      </c>
    </row>
    <row r="15" spans="1:7" ht="26.25" customHeight="1" x14ac:dyDescent="0.25">
      <c r="A15" s="1" t="s">
        <v>39</v>
      </c>
      <c r="B15" s="1" t="s">
        <v>40</v>
      </c>
      <c r="C15" s="1" t="s">
        <v>41</v>
      </c>
      <c r="D15" s="5">
        <f>[12]Valuation!$C$24</f>
        <v>3274.8058283156092</v>
      </c>
      <c r="E15" s="5">
        <f>[12]Valuation!$D$24</f>
        <v>4372.4863843808807</v>
      </c>
      <c r="F15" s="5">
        <f>[12]Valuation!$E$13</f>
        <v>61.788789213502064</v>
      </c>
      <c r="G15" s="5">
        <f>[12]Valuation!$E$14</f>
        <v>82.49974310152605</v>
      </c>
    </row>
    <row r="16" spans="1:7" ht="26.25" customHeight="1" x14ac:dyDescent="0.25">
      <c r="A16" s="3" t="s">
        <v>42</v>
      </c>
      <c r="B16" s="3" t="s">
        <v>43</v>
      </c>
      <c r="C16" s="3" t="s">
        <v>44</v>
      </c>
    </row>
    <row r="17" spans="1:8" ht="26.25" customHeight="1" x14ac:dyDescent="0.25">
      <c r="A17" s="1" t="s">
        <v>45</v>
      </c>
      <c r="B17" s="1" t="s">
        <v>46</v>
      </c>
      <c r="C17" s="1" t="s">
        <v>47</v>
      </c>
      <c r="D17" s="5">
        <f>[13]Valuation!$B$27</f>
        <v>589.84620445480425</v>
      </c>
      <c r="E17" s="5">
        <f>[13]Valuation!$C$27</f>
        <v>735.88319772453747</v>
      </c>
      <c r="F17" s="5">
        <f>[13]Valuation!$F$11</f>
        <v>11.796924089096084</v>
      </c>
      <c r="G17" s="5">
        <f>[13]Valuation!$F$12</f>
        <v>14.717663954490749</v>
      </c>
    </row>
    <row r="18" spans="1:8" ht="26.25" customHeight="1" x14ac:dyDescent="0.25">
      <c r="A18" s="1" t="s">
        <v>48</v>
      </c>
      <c r="B18" s="1" t="s">
        <v>49</v>
      </c>
      <c r="C18" s="1" t="s">
        <v>50</v>
      </c>
      <c r="D18" s="5">
        <f>[14]Valuation!$B$30</f>
        <v>613.80791487464705</v>
      </c>
      <c r="E18" s="5">
        <f>[14]Valuation!$C$30</f>
        <v>795.88765050110965</v>
      </c>
      <c r="F18" s="5">
        <f>[14]Valuation!$F$15</f>
        <v>24.552316594985882</v>
      </c>
      <c r="G18" s="5">
        <f>[14]Valuation!$F$16</f>
        <v>31.835506020044384</v>
      </c>
      <c r="H18" s="5"/>
    </row>
    <row r="19" spans="1:8" ht="26.25" customHeight="1" x14ac:dyDescent="0.25">
      <c r="A19" s="1" t="s">
        <v>51</v>
      </c>
      <c r="B19" s="1" t="s">
        <v>52</v>
      </c>
      <c r="C19" s="1" t="s">
        <v>53</v>
      </c>
      <c r="D19" s="5">
        <f>[15]Valuation!$B$29</f>
        <v>1206.4051166653965</v>
      </c>
      <c r="E19" s="5">
        <f>[15]Valuation!$C$29</f>
        <v>1476.1852749443108</v>
      </c>
      <c r="F19" s="5">
        <f>[15]Valuation!$F$15</f>
        <v>32.872074023580282</v>
      </c>
      <c r="G19" s="5">
        <f>[15]Valuation!$F$16</f>
        <v>39.596044226915659</v>
      </c>
    </row>
    <row r="20" spans="1:8" ht="26.25" customHeight="1" x14ac:dyDescent="0.25">
      <c r="A20" s="3" t="s">
        <v>54</v>
      </c>
      <c r="B20" s="3" t="s">
        <v>55</v>
      </c>
      <c r="C20" s="3" t="s">
        <v>56</v>
      </c>
    </row>
    <row r="21" spans="1:8" ht="26.25" customHeight="1" x14ac:dyDescent="0.25">
      <c r="A21" s="1" t="s">
        <v>57</v>
      </c>
      <c r="B21" s="1" t="s">
        <v>58</v>
      </c>
      <c r="C21" s="1" t="s">
        <v>59</v>
      </c>
      <c r="D21" s="5">
        <f>[16]Valuations!$B$32</f>
        <v>487.65336634680119</v>
      </c>
      <c r="E21" s="5">
        <f>[16]Valuations!$C$32</f>
        <v>619.37864804968297</v>
      </c>
      <c r="F21" s="5">
        <f>[16]Valuations!$F$16</f>
        <v>16.255112211560039</v>
      </c>
      <c r="G21" s="5">
        <f>[16]Valuations!$F$17</f>
        <v>19.355582751552593</v>
      </c>
    </row>
    <row r="22" spans="1:8" ht="26.25" customHeight="1" x14ac:dyDescent="0.25">
      <c r="A22" s="1" t="s">
        <v>60</v>
      </c>
      <c r="B22" s="1" t="s">
        <v>61</v>
      </c>
      <c r="C22" s="1" t="s">
        <v>62</v>
      </c>
      <c r="D22" s="5">
        <f>[17]Valuation!$C$38</f>
        <v>4984.6778505117209</v>
      </c>
      <c r="E22" s="5">
        <f>[17]Valuation!$D$38</f>
        <v>6196.5876968620123</v>
      </c>
      <c r="F22" s="5">
        <f>[17]Valuation!$E$13</f>
        <v>105.24555408415478</v>
      </c>
      <c r="G22" s="5">
        <f>[17]Valuation!$E$14</f>
        <v>131.69296683999644</v>
      </c>
    </row>
    <row r="23" spans="1:8" ht="26.25" customHeight="1" x14ac:dyDescent="0.25">
      <c r="A23" s="3" t="s">
        <v>63</v>
      </c>
      <c r="B23" s="3" t="s">
        <v>64</v>
      </c>
      <c r="C23" s="3" t="s">
        <v>65</v>
      </c>
    </row>
    <row r="24" spans="1:8" ht="26.25" customHeight="1" x14ac:dyDescent="0.25">
      <c r="A24" s="3" t="s">
        <v>66</v>
      </c>
      <c r="B24" s="3" t="s">
        <v>67</v>
      </c>
      <c r="C24" s="3" t="s">
        <v>68</v>
      </c>
    </row>
    <row r="25" spans="1:8" ht="26.25" customHeight="1" x14ac:dyDescent="0.25">
      <c r="A25" s="3" t="s">
        <v>69</v>
      </c>
      <c r="B25" s="3" t="s">
        <v>70</v>
      </c>
      <c r="C25" s="3" t="s">
        <v>71</v>
      </c>
    </row>
    <row r="26" spans="1:8" ht="26.25" customHeight="1" x14ac:dyDescent="0.25">
      <c r="A26" s="3" t="s">
        <v>72</v>
      </c>
      <c r="B26" s="3" t="s">
        <v>73</v>
      </c>
      <c r="C26" s="3" t="s">
        <v>74</v>
      </c>
    </row>
    <row r="27" spans="1:8" ht="26.25" customHeight="1" x14ac:dyDescent="0.25">
      <c r="A27" s="3" t="s">
        <v>75</v>
      </c>
      <c r="B27" s="3" t="s">
        <v>76</v>
      </c>
      <c r="C27" s="3" t="s">
        <v>77</v>
      </c>
    </row>
    <row r="28" spans="1:8" ht="26.25" customHeight="1" x14ac:dyDescent="0.25">
      <c r="A28" s="3" t="s">
        <v>78</v>
      </c>
      <c r="B28" s="3" t="s">
        <v>79</v>
      </c>
      <c r="C28" s="3" t="s">
        <v>80</v>
      </c>
    </row>
    <row r="29" spans="1:8" ht="26.25" customHeight="1" x14ac:dyDescent="0.25">
      <c r="A29" s="1" t="s">
        <v>81</v>
      </c>
      <c r="B29" s="1" t="s">
        <v>82</v>
      </c>
      <c r="C29" s="1" t="s">
        <v>83</v>
      </c>
      <c r="D29" s="5">
        <f>[18]Valuations!$C$28</f>
        <v>108.42839948542542</v>
      </c>
      <c r="E29" s="5">
        <f>[18]Valuations!$D$28</f>
        <v>224.84959062183719</v>
      </c>
      <c r="F29" s="4">
        <f>[18]Valuations!$F$12</f>
        <v>2.1685679897085084</v>
      </c>
      <c r="G29" s="4">
        <f>[18]Valuations!$F$13</f>
        <v>4.4969918124367441</v>
      </c>
    </row>
    <row r="30" spans="1:8" ht="26.25" customHeight="1" x14ac:dyDescent="0.25">
      <c r="A30" s="3" t="s">
        <v>84</v>
      </c>
      <c r="B30" s="3" t="s">
        <v>85</v>
      </c>
      <c r="C30" s="3" t="s">
        <v>86</v>
      </c>
    </row>
    <row r="31" spans="1:8" ht="26.25" customHeight="1" x14ac:dyDescent="0.25">
      <c r="A31" s="1" t="s">
        <v>87</v>
      </c>
      <c r="B31" s="1" t="s">
        <v>88</v>
      </c>
      <c r="C31" s="1" t="s">
        <v>89</v>
      </c>
      <c r="D31" s="5">
        <f>[19]Valuation!$C$37</f>
        <v>1735.7953023092418</v>
      </c>
      <c r="E31" s="5">
        <f>[19]Valuation!$D$37</f>
        <v>2001.2214898983377</v>
      </c>
      <c r="F31" s="4">
        <f>[19]Valuation!$D$22</f>
        <v>81.234536711690254</v>
      </c>
      <c r="G31" s="4">
        <f>[19]Valuation!$D$23</f>
        <v>95.507310135220976</v>
      </c>
    </row>
    <row r="32" spans="1:8" ht="26.25" customHeight="1" x14ac:dyDescent="0.25">
      <c r="A32" s="3" t="s">
        <v>90</v>
      </c>
      <c r="B32" s="3" t="s">
        <v>91</v>
      </c>
      <c r="C32" s="3" t="s">
        <v>92</v>
      </c>
    </row>
    <row r="33" spans="1:7" ht="26.25" customHeight="1" x14ac:dyDescent="0.25">
      <c r="A33" s="3" t="s">
        <v>93</v>
      </c>
      <c r="B33" s="3" t="s">
        <v>94</v>
      </c>
      <c r="C33" s="3" t="s">
        <v>95</v>
      </c>
    </row>
    <row r="34" spans="1:7" ht="26.25" customHeight="1" x14ac:dyDescent="0.25">
      <c r="A34" s="3" t="s">
        <v>96</v>
      </c>
      <c r="B34" s="3" t="s">
        <v>97</v>
      </c>
      <c r="C34" s="3" t="s">
        <v>98</v>
      </c>
    </row>
    <row r="35" spans="1:7" ht="26.25" customHeight="1" x14ac:dyDescent="0.25">
      <c r="A35" s="1" t="s">
        <v>99</v>
      </c>
      <c r="B35" s="1" t="s">
        <v>100</v>
      </c>
      <c r="C35" s="1" t="s">
        <v>101</v>
      </c>
      <c r="D35" s="5"/>
      <c r="E35" s="5"/>
      <c r="F35" s="4"/>
      <c r="G35" s="4"/>
    </row>
    <row r="36" spans="1:7" ht="26.25" customHeight="1" x14ac:dyDescent="0.25">
      <c r="A36" s="6" t="s">
        <v>102</v>
      </c>
      <c r="B36" s="6" t="s">
        <v>103</v>
      </c>
      <c r="C36" s="6" t="s">
        <v>104</v>
      </c>
    </row>
    <row r="37" spans="1:7" ht="26.25" customHeight="1" x14ac:dyDescent="0.25">
      <c r="A37" s="3" t="s">
        <v>105</v>
      </c>
      <c r="B37" s="3" t="s">
        <v>106</v>
      </c>
      <c r="C37" s="3" t="s">
        <v>107</v>
      </c>
    </row>
    <row r="38" spans="1:7" ht="26.25" customHeight="1" x14ac:dyDescent="0.25">
      <c r="A38" s="3" t="s">
        <v>108</v>
      </c>
      <c r="B38" s="3" t="s">
        <v>109</v>
      </c>
      <c r="C38" s="3" t="s">
        <v>110</v>
      </c>
    </row>
    <row r="39" spans="1:7" ht="26.25" customHeight="1" x14ac:dyDescent="0.25">
      <c r="A39" s="3" t="s">
        <v>111</v>
      </c>
      <c r="B39" s="3" t="s">
        <v>112</v>
      </c>
      <c r="C39" s="3" t="s">
        <v>113</v>
      </c>
    </row>
    <row r="40" spans="1:7" ht="26.25" customHeight="1" x14ac:dyDescent="0.25">
      <c r="A40" s="3" t="s">
        <v>114</v>
      </c>
      <c r="B40" s="3" t="s">
        <v>115</v>
      </c>
      <c r="C40" s="3" t="s">
        <v>116</v>
      </c>
    </row>
    <row r="41" spans="1:7" ht="26.25" customHeight="1" x14ac:dyDescent="0.25">
      <c r="A41" s="6" t="s">
        <v>122</v>
      </c>
      <c r="B41" s="6" t="s">
        <v>123</v>
      </c>
      <c r="C41" s="6" t="s">
        <v>124</v>
      </c>
      <c r="D41" s="10">
        <f>[20]Valuations!$B$34</f>
        <v>231.82153270098792</v>
      </c>
      <c r="E41" s="10">
        <f>[20]Valuations!$C$34</f>
        <v>349.54542834077216</v>
      </c>
      <c r="F41" s="10">
        <f>[20]Valuations!$F$11</f>
        <v>3.678183556917157</v>
      </c>
      <c r="G41" s="10">
        <f>[20]Valuations!$F$12</f>
        <v>5.3818753568619773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7eca50-4296-4145-84fe-babb3f5e45b1">
      <Terms xmlns="http://schemas.microsoft.com/office/infopath/2007/PartnerControls"/>
    </lcf76f155ced4ddcb4097134ff3c332f>
    <TaxCatchAll xmlns="f9fc7660-02de-4c74-9f26-03585330571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54A11EB7B77D489A1DA3E1ABA723C2" ma:contentTypeVersion="11" ma:contentTypeDescription="Create a new document." ma:contentTypeScope="" ma:versionID="d1ca1bd31af065c33ed021adf6909c53">
  <xsd:schema xmlns:xsd="http://www.w3.org/2001/XMLSchema" xmlns:xs="http://www.w3.org/2001/XMLSchema" xmlns:p="http://schemas.microsoft.com/office/2006/metadata/properties" xmlns:ns2="ab7eca50-4296-4145-84fe-babb3f5e45b1" xmlns:ns3="f9fc7660-02de-4c74-9f26-03585330571e" targetNamespace="http://schemas.microsoft.com/office/2006/metadata/properties" ma:root="true" ma:fieldsID="a403db7d63049c7f4a178b6b7554fb4a" ns2:_="" ns3:_="">
    <xsd:import namespace="ab7eca50-4296-4145-84fe-babb3f5e45b1"/>
    <xsd:import namespace="f9fc7660-02de-4c74-9f26-0358533057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7eca50-4296-4145-84fe-babb3f5e45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d5f4249-aadb-4b02-9fe2-aa68f32aaa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fc7660-02de-4c74-9f26-03585330571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db514eb-4cec-40d5-abe9-d76acaef5fc0}" ma:internalName="TaxCatchAll" ma:showField="CatchAllData" ma:web="f9fc7660-02de-4c74-9f26-0358533057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0B7B0E-1E3A-40AC-A16E-05E0F2C977C4}">
  <ds:schemaRefs>
    <ds:schemaRef ds:uri="http://purl.org/dc/dcmitype/"/>
    <ds:schemaRef ds:uri="http://www.w3.org/XML/1998/namespace"/>
    <ds:schemaRef ds:uri="http://schemas.microsoft.com/office/2006/documentManagement/types"/>
    <ds:schemaRef ds:uri="ab7eca50-4296-4145-84fe-babb3f5e45b1"/>
    <ds:schemaRef ds:uri="http://purl.org/dc/terms/"/>
    <ds:schemaRef ds:uri="http://purl.org/dc/elements/1.1/"/>
    <ds:schemaRef ds:uri="f9fc7660-02de-4c74-9f26-03585330571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DD2E8A7D-D781-4CBD-9548-747D8F6A32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7eca50-4296-4145-84fe-babb3f5e45b1"/>
    <ds:schemaRef ds:uri="f9fc7660-02de-4c74-9f26-0358533057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60788C-147E-4414-9C48-1DE8790A223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Ashwini Bhuta</dc:creator>
  <cp:lastModifiedBy>Aarsh Desai</cp:lastModifiedBy>
  <dcterms:created xsi:type="dcterms:W3CDTF">2026-05-27T06:12:40Z</dcterms:created>
  <dcterms:modified xsi:type="dcterms:W3CDTF">2026-06-10T09:01:51Z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0x010100BC54A11EB7B77D489A1DA3E1ABA723C2</vt:lpwstr>
  </property>
  <property fmtid="{D5CDD505-2E9C-101B-9397-08002B2CF9AE}" pid="3" name="MediaServiceImageTags">
    <vt:lpwstr/>
  </property>
</Properties>
</file>